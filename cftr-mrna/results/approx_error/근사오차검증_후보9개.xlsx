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후보 구성" sheetId="1" state="visible" r:id="rId3"/>
    <sheet name="측정 결과" sheetId="2" state="visible" r:id="rId4"/>
    <sheet name="순위 보존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<sst xmlns="http://schemas.openxmlformats.org/spreadsheetml/2006/main" count="167" uniqueCount="99">
  <si>
    <r>
      <rPr>
        <b val="true"/>
        <sz val="13"/>
        <rFont val="Noto Sans CJK SC"/>
        <family val="2"/>
      </rPr>
      <t xml:space="preserve">전체 길이 </t>
    </r>
    <r>
      <rPr>
        <b val="true"/>
        <sz val="13"/>
        <rFont val="Arial"/>
        <family val="0"/>
        <charset val="1"/>
      </rPr>
      <t xml:space="preserve">RNAfold </t>
    </r>
    <r>
      <rPr>
        <b val="true"/>
        <sz val="13"/>
        <rFont val="Noto Sans CJK SC"/>
        <family val="2"/>
      </rPr>
      <t xml:space="preserve">검증에 사용한 후보 </t>
    </r>
    <r>
      <rPr>
        <b val="true"/>
        <sz val="13"/>
        <rFont val="Arial"/>
        <family val="0"/>
        <charset val="1"/>
      </rPr>
      <t xml:space="preserve">9</t>
    </r>
    <r>
      <rPr>
        <b val="true"/>
        <sz val="13"/>
        <rFont val="Noto Sans CJK SC"/>
        <family val="2"/>
      </rPr>
      <t xml:space="preserve">개</t>
    </r>
  </si>
  <si>
    <r>
      <rPr>
        <i val="true"/>
        <sz val="9"/>
        <color rgb="FF595959"/>
        <rFont val="Arial"/>
        <family val="0"/>
        <charset val="1"/>
      </rPr>
      <t xml:space="preserve">168</t>
    </r>
    <r>
      <rPr>
        <i val="true"/>
        <sz val="9"/>
        <color rgb="FF595959"/>
        <rFont val="Noto Sans CJK SC"/>
        <family val="2"/>
      </rPr>
      <t xml:space="preserve">개 후보 중 순위 분포와 설계 조합을 고르게 덮도록 선정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점수</t>
    </r>
    <r>
      <rPr>
        <i val="true"/>
        <sz val="9"/>
        <color rgb="FF595959"/>
        <rFont val="Arial"/>
        <family val="0"/>
        <charset val="1"/>
      </rPr>
      <t xml:space="preserve">·CAI</t>
    </r>
    <r>
      <rPr>
        <i val="true"/>
        <sz val="9"/>
        <color rgb="FF595959"/>
        <rFont val="Noto Sans CJK SC"/>
        <family val="2"/>
      </rPr>
      <t xml:space="preserve">는 파이프라인 저장값</t>
    </r>
    <r>
      <rPr>
        <i val="true"/>
        <sz val="9"/>
        <color rgb="FF595959"/>
        <rFont val="Arial"/>
        <family val="0"/>
        <charset val="1"/>
      </rPr>
      <t xml:space="preserve">(results/candidates_scored.csv).</t>
    </r>
  </si>
  <si>
    <t xml:space="preserve">순위</t>
  </si>
  <si>
    <t xml:space="preserve">차수</t>
  </si>
  <si>
    <t xml:space="preserve">코돈 최적화</t>
  </si>
  <si>
    <t xml:space="preserve">5'UTR</t>
  </si>
  <si>
    <t xml:space="preserve">Kozak</t>
  </si>
  <si>
    <t xml:space="preserve">3'UTR</t>
  </si>
  <si>
    <r>
      <rPr>
        <b val="true"/>
        <sz val="10"/>
        <color rgb="FFFFFFFF"/>
        <rFont val="Noto Sans CJK SC"/>
        <family val="2"/>
      </rPr>
      <t xml:space="preserve">길이</t>
    </r>
    <r>
      <rPr>
        <b val="true"/>
        <sz val="10"/>
        <color rgb="FFFFFFFF"/>
        <rFont val="Arial"/>
        <family val="0"/>
        <charset val="1"/>
      </rPr>
      <t xml:space="preserve">(nt)</t>
    </r>
  </si>
  <si>
    <t xml:space="preserve">CAI</t>
  </si>
  <si>
    <t xml:space="preserve">종합 점수</t>
  </si>
  <si>
    <t xml:space="preserve">서열 재현성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</si>
  <si>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</si>
  <si>
    <t xml:space="preserve">match_codon_usage GC55</t>
  </si>
  <si>
    <t xml:space="preserve">hbb</t>
  </si>
  <si>
    <t xml:space="preserve">used</t>
  </si>
  <si>
    <t xml:space="preserve">hba1</t>
  </si>
  <si>
    <t xml:space="preserve">난수 — 재현 불가</t>
  </si>
  <si>
    <t xml:space="preserve">prior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</si>
  <si>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</si>
  <si>
    <t xml:space="preserve">use_best_codon GC57</t>
  </si>
  <si>
    <t xml:space="preserve">결정론적</t>
  </si>
  <si>
    <t xml:space="preserve">use_best_codon GC55</t>
  </si>
  <si>
    <t xml:space="preserve">use_best_codon GC60</t>
  </si>
  <si>
    <t xml:space="preserve">minimal</t>
  </si>
  <si>
    <t xml:space="preserve">strong</t>
  </si>
  <si>
    <t xml:space="preserve">mrna1273</t>
  </si>
  <si>
    <t xml:space="preserve">wildtype</t>
  </si>
  <si>
    <t xml:space="preserve">설계 조합 커버리지</t>
  </si>
  <si>
    <r>
      <rPr>
        <b val="true"/>
        <sz val="10"/>
        <rFont val="Noto Sans CJK SC"/>
        <family val="2"/>
      </rPr>
      <t xml:space="preserve">코돈 최적화 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종</t>
    </r>
  </si>
  <si>
    <t xml:space="preserve">wildtype, use_best_codon GC55 / GC57 / GC60, match_codon_usage GC55</t>
  </si>
  <si>
    <r>
      <rPr>
        <b val="true"/>
        <sz val="10"/>
        <rFont val="Arial"/>
        <family val="0"/>
        <charset val="1"/>
      </rPr>
      <t xml:space="preserve">5'UTR 4</t>
    </r>
    <r>
      <rPr>
        <b val="true"/>
        <sz val="10"/>
        <rFont val="Noto Sans CJK SC"/>
        <family val="2"/>
      </rPr>
      <t xml:space="preserve">종</t>
    </r>
  </si>
  <si>
    <r>
      <rPr>
        <sz val="10"/>
        <rFont val="Arial"/>
        <family val="0"/>
        <charset val="1"/>
      </rPr>
      <t xml:space="preserve">hbb, mrna1273, minimal, hba1 — </t>
    </r>
    <r>
      <rPr>
        <sz val="10"/>
        <rFont val="Noto Sans CJK SC"/>
        <family val="2"/>
      </rPr>
      <t xml:space="preserve">라이브러리 전체</t>
    </r>
  </si>
  <si>
    <r>
      <rPr>
        <b val="true"/>
        <sz val="10"/>
        <rFont val="Arial"/>
        <family val="0"/>
        <charset val="1"/>
      </rPr>
      <t xml:space="preserve">Kozak 2</t>
    </r>
    <r>
      <rPr>
        <b val="true"/>
        <sz val="10"/>
        <rFont val="Noto Sans CJK SC"/>
        <family val="2"/>
      </rPr>
      <t xml:space="preserve">종</t>
    </r>
  </si>
  <si>
    <r>
      <rPr>
        <sz val="10"/>
        <rFont val="Arial"/>
        <family val="0"/>
        <charset val="1"/>
      </rPr>
      <t xml:space="preserve">kozak_used (GCCACC), kozak_strong (GCCGCCACC) — </t>
    </r>
    <r>
      <rPr>
        <sz val="10"/>
        <rFont val="Noto Sans CJK SC"/>
        <family val="2"/>
      </rPr>
      <t xml:space="preserve">라이브러리 전체</t>
    </r>
  </si>
  <si>
    <r>
      <rPr>
        <b val="true"/>
        <sz val="10"/>
        <rFont val="Arial"/>
        <family val="0"/>
        <charset val="1"/>
      </rPr>
      <t xml:space="preserve">3'UTR 3</t>
    </r>
    <r>
      <rPr>
        <b val="true"/>
        <sz val="10"/>
        <rFont val="Noto Sans CJK SC"/>
        <family val="2"/>
      </rPr>
      <t xml:space="preserve">종</t>
    </r>
  </si>
  <si>
    <r>
      <rPr>
        <sz val="10"/>
        <rFont val="Arial"/>
        <family val="0"/>
        <charset val="1"/>
      </rPr>
      <t xml:space="preserve">hba1, hbb, prior — </t>
    </r>
    <r>
      <rPr>
        <sz val="10"/>
        <rFont val="Noto Sans CJK SC"/>
        <family val="2"/>
      </rPr>
      <t xml:space="preserve">라이브러리 전체</t>
    </r>
  </si>
  <si>
    <t xml:space="preserve">순위 분포</t>
  </si>
  <si>
    <r>
      <rPr>
        <sz val="10"/>
        <rFont val="Arial"/>
        <family val="0"/>
        <charset val="1"/>
      </rPr>
      <t xml:space="preserve">1, 2, 32, 57, 63, 84, 115, 167, 168 (1~168</t>
    </r>
    <r>
      <rPr>
        <sz val="10"/>
        <rFont val="Noto Sans CJK SC"/>
        <family val="2"/>
      </rPr>
      <t xml:space="preserve">위에 고르게 분포</t>
    </r>
    <r>
      <rPr>
        <sz val="10"/>
        <rFont val="Arial"/>
        <family val="0"/>
        <charset val="1"/>
      </rPr>
      <t xml:space="preserve">)</t>
    </r>
  </si>
  <si>
    <t xml:space="preserve">주의</t>
  </si>
  <si>
    <r>
      <rPr>
        <sz val="10"/>
        <rFont val="Arial"/>
        <family val="0"/>
        <charset val="1"/>
      </rPr>
      <t xml:space="preserve">1·2</t>
    </r>
    <r>
      <rPr>
        <sz val="10"/>
        <rFont val="Noto Sans CJK SC"/>
        <family val="2"/>
      </rPr>
      <t xml:space="preserve">위가 쓰는 </t>
    </r>
    <r>
      <rPr>
        <sz val="10"/>
        <rFont val="Arial"/>
        <family val="0"/>
        <charset val="1"/>
      </rPr>
      <t xml:space="preserve">match_codon_usage </t>
    </r>
    <r>
      <rPr>
        <sz val="10"/>
        <rFont val="Noto Sans CJK SC"/>
        <family val="2"/>
      </rPr>
      <t xml:space="preserve">방식은 </t>
    </r>
    <r>
      <rPr>
        <sz val="10"/>
        <rFont val="Arial"/>
        <family val="0"/>
        <charset val="1"/>
      </rPr>
      <t xml:space="preserve">design.py</t>
    </r>
    <r>
      <rPr>
        <sz val="10"/>
        <rFont val="Noto Sans CJK SC"/>
        <family val="2"/>
      </rPr>
      <t xml:space="preserve">에 난수 시드가 고정되어 있지 않아 실행마다 다른 서열이 생성됨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검증에 사용한 </t>
    </r>
    <r>
      <rPr>
        <sz val="10"/>
        <rFont val="Arial"/>
        <family val="0"/>
        <charset val="1"/>
      </rPr>
      <t xml:space="preserve">1·2</t>
    </r>
    <r>
      <rPr>
        <sz val="10"/>
        <rFont val="Noto Sans CJK SC"/>
        <family val="2"/>
      </rPr>
      <t xml:space="preserve">위 서열은 저장소 원본과 다른 </t>
    </r>
    <r>
      <rPr>
        <sz val="10"/>
        <rFont val="Arial"/>
        <family val="0"/>
        <charset val="1"/>
      </rPr>
      <t xml:space="preserve">draw</t>
    </r>
    <r>
      <rPr>
        <sz val="10"/>
        <rFont val="Noto Sans CJK SC"/>
        <family val="2"/>
      </rPr>
      <t xml:space="preserve">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개는 원본과 완전히 일치함</t>
    </r>
    <r>
      <rPr>
        <sz val="10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</si>
  <si>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전체 길이 </t>
    </r>
    <r>
      <rPr>
        <b val="true"/>
        <sz val="13"/>
        <rFont val="Arial"/>
        <family val="0"/>
        <charset val="1"/>
      </rPr>
      <t xml:space="preserve">RNAfold vs RNAplfold(</t>
    </r>
    <r>
      <rPr>
        <b val="true"/>
        <sz val="13"/>
        <rFont val="Noto Sans CJK SC"/>
        <family val="2"/>
      </rPr>
      <t xml:space="preserve">창 </t>
    </r>
    <r>
      <rPr>
        <b val="true"/>
        <sz val="13"/>
        <rFont val="Arial"/>
        <family val="0"/>
        <charset val="1"/>
      </rPr>
      <t xml:space="preserve">150) </t>
    </r>
    <r>
      <rPr>
        <b val="true"/>
        <sz val="13"/>
        <rFont val="Noto Sans CJK SC"/>
        <family val="2"/>
      </rPr>
      <t xml:space="preserve">근사 오차</t>
    </r>
  </si>
  <si>
    <r>
      <rPr>
        <i val="true"/>
        <sz val="9"/>
        <color rgb="FF595959"/>
        <rFont val="Noto Sans CJK SC"/>
        <family val="2"/>
      </rPr>
      <t xml:space="preserve">조건</t>
    </r>
    <r>
      <rPr>
        <i val="true"/>
        <sz val="9"/>
        <color rgb="FF595959"/>
        <rFont val="Arial"/>
        <family val="0"/>
        <charset val="1"/>
      </rPr>
      <t xml:space="preserve">: 37°C, </t>
    </r>
    <r>
      <rPr>
        <i val="true"/>
        <sz val="9"/>
        <color rgb="FF595959"/>
        <rFont val="Noto Sans CJK SC"/>
        <family val="2"/>
      </rPr>
      <t xml:space="preserve">기본 에너지 모델</t>
    </r>
    <r>
      <rPr>
        <i val="true"/>
        <sz val="9"/>
        <color rgb="FF595959"/>
        <rFont val="Arial"/>
        <family val="0"/>
        <charset val="1"/>
      </rPr>
      <t xml:space="preserve">, noLP </t>
    </r>
    <r>
      <rPr>
        <i val="true"/>
        <sz val="9"/>
        <color rgb="FF595959"/>
        <rFont val="Noto Sans CJK SC"/>
        <family val="2"/>
      </rPr>
      <t xml:space="preserve">미사용 </t>
    </r>
    <r>
      <rPr>
        <i val="true"/>
        <sz val="9"/>
        <color rgb="FF595959"/>
        <rFont val="Arial"/>
        <family val="0"/>
        <charset val="1"/>
      </rPr>
      <t xml:space="preserve">/ RNAplfold W=150, L=120, u=1 (metrics.py</t>
    </r>
    <r>
      <rPr>
        <i val="true"/>
        <sz val="9"/>
        <color rgb="FF595959"/>
        <rFont val="Noto Sans CJK SC"/>
        <family val="2"/>
      </rPr>
      <t xml:space="preserve">와 동일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</si>
  <si>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MFE
(kcal/mol)</t>
  </si>
  <si>
    <r>
      <rPr>
        <b val="true"/>
        <sz val="10"/>
        <color rgb="FFFFFFFF"/>
        <rFont val="Noto Sans CJK SC"/>
        <family val="2"/>
      </rPr>
      <t xml:space="preserve">앙상블 </t>
    </r>
    <r>
      <rPr>
        <b val="true"/>
        <sz val="10"/>
        <color rgb="FFFFFFFF"/>
        <rFont val="Arial"/>
        <family val="0"/>
        <charset val="1"/>
      </rPr>
      <t xml:space="preserve">ΔG
(kcal/mol)</t>
    </r>
  </si>
  <si>
    <r>
      <rPr>
        <b val="true"/>
        <sz val="10"/>
        <color rgb="FFFFFFFF"/>
        <rFont val="Arial"/>
        <family val="0"/>
        <charset val="1"/>
      </rPr>
      <t xml:space="preserve">RNAfold
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</si>
  <si>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RNAplfold
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</si>
  <si>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배속</t>
  </si>
  <si>
    <t xml:space="preserve">MAE</t>
  </si>
  <si>
    <t xml:space="preserve">bias</t>
  </si>
  <si>
    <r>
      <rPr>
        <b val="true"/>
        <sz val="10"/>
        <color rgb="FFFFFFFF"/>
        <rFont val="Noto Sans CJK SC"/>
        <family val="2"/>
      </rPr>
      <t xml:space="preserve">상관 </t>
    </r>
    <r>
      <rPr>
        <b val="true"/>
        <sz val="10"/>
        <color rgb="FFFFFFFF"/>
        <rFont val="Arial"/>
        <family val="0"/>
        <charset val="1"/>
      </rPr>
      <t xml:space="preserve">r</t>
    </r>
  </si>
  <si>
    <t xml:space="preserve">acc_kozak
RNAfold</t>
  </si>
  <si>
    <t xml:space="preserve">acc_kozak
RNAplfold</t>
  </si>
  <si>
    <t xml:space="preserve">차이</t>
  </si>
  <si>
    <t xml:space="preserve">acc_start30
RNAfold</t>
  </si>
  <si>
    <t xml:space="preserve">acc_start30
RNAplfold</t>
  </si>
  <si>
    <t xml:space="preserve">acc_mean
RNAfold</t>
  </si>
  <si>
    <t xml:space="preserve">acc_mean
RNAplfold</t>
  </si>
  <si>
    <t xml:space="preserve">미보유</t>
  </si>
  <si>
    <t xml:space="preserve">—</t>
  </si>
  <si>
    <t xml:space="preserve">평균</t>
  </si>
  <si>
    <t xml:space="preserve">표준편차</t>
  </si>
  <si>
    <t xml:space="preserve">열 설명</t>
  </si>
  <si>
    <r>
      <rPr>
        <sz val="10"/>
        <rFont val="Noto Sans CJK SC"/>
        <family val="2"/>
      </rPr>
      <t xml:space="preserve">염기 위치마다 두 방법의 풀림 확률 차이를 절댓값으로 평균한 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클수록 위치별 판단이 어긋남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</si>
  <si>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RNAplfold </t>
    </r>
    <r>
      <rPr>
        <sz val="10"/>
        <rFont val="Noto Sans CJK SC"/>
        <family val="2"/>
      </rPr>
      <t xml:space="preserve">값에서 </t>
    </r>
    <r>
      <rPr>
        <sz val="10"/>
        <rFont val="Arial"/>
        <family val="0"/>
        <charset val="1"/>
      </rPr>
      <t xml:space="preserve">RNAfold </t>
    </r>
    <r>
      <rPr>
        <sz val="10"/>
        <rFont val="Noto Sans CJK SC"/>
        <family val="2"/>
      </rPr>
      <t xml:space="preserve">값을 뺀 평균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양수는 </t>
    </r>
    <r>
      <rPr>
        <sz val="10"/>
        <rFont val="Arial"/>
        <family val="0"/>
        <charset val="1"/>
      </rPr>
      <t xml:space="preserve">RNAplfold</t>
    </r>
    <r>
      <rPr>
        <sz val="10"/>
        <rFont val="Noto Sans CJK SC"/>
        <family val="2"/>
      </rPr>
      <t xml:space="preserve">가 접근성을 과대평가한다는 뜻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</si>
  <si>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상관 </t>
    </r>
    <r>
      <rPr>
        <b val="true"/>
        <sz val="10"/>
        <rFont val="Arial"/>
        <family val="0"/>
        <charset val="1"/>
      </rPr>
      <t xml:space="preserve">r</t>
    </r>
  </si>
  <si>
    <r>
      <rPr>
        <sz val="10"/>
        <rFont val="Noto Sans CJK SC"/>
        <family val="2"/>
      </rPr>
      <t xml:space="preserve">전 염기 위치에 대한 두 방법 값의 피어슨 상관계수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</si>
  <si>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RNAplfold − RNAfold. </t>
    </r>
    <r>
      <rPr>
        <sz val="10"/>
        <rFont val="Noto Sans CJK SC"/>
        <family val="2"/>
      </rPr>
      <t xml:space="preserve">양수면 근사가 더 열려 있다고 판단한 것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</si>
  <si>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32·57·63·115</t>
    </r>
    <r>
      <rPr>
        <sz val="10"/>
        <rFont val="Noto Sans CJK SC"/>
        <family val="2"/>
      </rPr>
      <t xml:space="preserve">위는 작업 환경 초기화로 </t>
    </r>
    <r>
      <rPr>
        <sz val="10"/>
        <rFont val="Arial"/>
        <family val="0"/>
        <charset val="1"/>
      </rPr>
      <t xml:space="preserve">RNAfold </t>
    </r>
    <r>
      <rPr>
        <sz val="10"/>
        <rFont val="Noto Sans CJK SC"/>
        <family val="2"/>
      </rPr>
      <t xml:space="preserve">쪽 접근성 원자료가 유실됨</t>
    </r>
    <r>
      <rPr>
        <sz val="10"/>
        <rFont val="Arial"/>
        <family val="0"/>
        <charset val="1"/>
      </rPr>
      <t xml:space="preserve">. RNAplfold </t>
    </r>
    <r>
      <rPr>
        <sz val="10"/>
        <rFont val="Noto Sans CJK SC"/>
        <family val="2"/>
      </rPr>
      <t xml:space="preserve">값은 파이프라인 저장값으로 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재계산 시 후보당 약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분 소요</t>
    </r>
    <r>
      <rPr>
        <sz val="10"/>
        <rFont val="Arial"/>
        <family val="0"/>
        <charset val="1"/>
      </rPr>
      <t xml:space="preserve">.</t>
    </r>
  </si>
  <si>
    <t xml:space="preserve">지표별 순위 보존 판정</t>
  </si>
  <si>
    <r>
      <rPr>
        <i val="true"/>
        <sz val="9"/>
        <color rgb="FF595959"/>
        <rFont val="Noto Sans CJK SC"/>
        <family val="2"/>
      </rPr>
      <t xml:space="preserve">후보 </t>
    </r>
    <r>
      <rPr>
        <i val="true"/>
        <sz val="9"/>
        <color rgb="FF595959"/>
        <rFont val="Arial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개를 각 지표로 정렬했을 때 두 방법의 순서가 얼마나 일치하는지</t>
    </r>
    <r>
      <rPr>
        <i val="true"/>
        <sz val="9"/>
        <color rgb="FF595959"/>
        <rFont val="Arial"/>
        <family val="0"/>
        <charset val="1"/>
      </rPr>
      <t xml:space="preserve">. Kendall τ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Arial"/>
        <family val="0"/>
        <charset val="1"/>
      </rPr>
      <t xml:space="preserve">+1</t>
    </r>
    <r>
      <rPr>
        <i val="true"/>
        <sz val="9"/>
        <color rgb="FF595959"/>
        <rFont val="Noto Sans CJK SC"/>
        <family val="2"/>
      </rPr>
      <t xml:space="preserve">이면 완전 일치</t>
    </r>
    <r>
      <rPr>
        <i val="true"/>
        <sz val="9"/>
        <color rgb="FF595959"/>
        <rFont val="Arial"/>
        <family val="0"/>
        <charset val="1"/>
      </rPr>
      <t xml:space="preserve">, 0</t>
    </r>
    <r>
      <rPr>
        <i val="true"/>
        <sz val="9"/>
        <color rgb="FF595959"/>
        <rFont val="Noto Sans CJK SC"/>
        <family val="2"/>
      </rPr>
      <t xml:space="preserve">이면 무관계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</si>
  <si>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지표</t>
  </si>
  <si>
    <t xml:space="preserve">의미</t>
  </si>
  <si>
    <t xml:space="preserve">Kendall τ</t>
  </si>
  <si>
    <r>
      <rPr>
        <b val="true"/>
        <sz val="10"/>
        <color rgb="FFFFFFFF"/>
        <rFont val="Noto Sans CJK SC"/>
        <family val="2"/>
      </rPr>
      <t xml:space="preserve">후보 간 상관 </t>
    </r>
    <r>
      <rPr>
        <b val="true"/>
        <sz val="10"/>
        <color rgb="FFFFFFFF"/>
        <rFont val="Arial"/>
        <family val="0"/>
        <charset val="1"/>
      </rPr>
      <t xml:space="preserve">r</t>
    </r>
  </si>
  <si>
    <t xml:space="preserve">판정</t>
  </si>
  <si>
    <t xml:space="preserve">해석</t>
  </si>
  <si>
    <t xml:space="preserve">acc_mean</t>
  </si>
  <si>
    <t xml:space="preserve">서열 전체 평균 접근성</t>
  </si>
  <si>
    <t xml:space="preserve">보존됨</t>
  </si>
  <si>
    <r>
      <rPr>
        <sz val="10"/>
        <rFont val="Noto Sans CJK SC"/>
        <family val="2"/>
      </rPr>
      <t xml:space="preserve">전 구간 평균이라 국소 오차가 상쇄됨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근사값을 그대로 써도 무방</t>
    </r>
    <r>
      <rPr>
        <sz val="10"/>
        <rFont val="Arial"/>
        <family val="0"/>
        <charset val="1"/>
      </rPr>
      <t xml:space="preserve">.</t>
    </r>
  </si>
  <si>
    <t xml:space="preserve">acc_kozak</t>
  </si>
  <si>
    <r>
      <rPr>
        <sz val="10"/>
        <rFont val="Arial"/>
        <family val="0"/>
        <charset val="1"/>
      </rPr>
      <t xml:space="preserve">Kozak </t>
    </r>
    <r>
      <rPr>
        <sz val="10"/>
        <rFont val="Noto Sans CJK SC"/>
        <family val="2"/>
      </rPr>
      <t xml:space="preserve">주변</t>
    </r>
    <r>
      <rPr>
        <sz val="10"/>
        <rFont val="Arial"/>
        <family val="0"/>
        <charset val="1"/>
      </rPr>
      <t xml:space="preserve">(-12~+3) </t>
    </r>
    <r>
      <rPr>
        <sz val="10"/>
        <rFont val="Noto Sans CJK SC"/>
        <family val="2"/>
      </rPr>
      <t xml:space="preserve">접근성</t>
    </r>
  </si>
  <si>
    <t xml:space="preserve">대체로 보존됨</t>
  </si>
  <si>
    <r>
      <rPr>
        <sz val="10"/>
        <rFont val="Noto Sans CJK SC"/>
        <family val="2"/>
      </rPr>
      <t xml:space="preserve">점수화에서 가장 결정적인 지표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하위 그룹 구분 용도로는 사용 가능</t>
    </r>
    <r>
      <rPr>
        <sz val="10"/>
        <rFont val="Arial"/>
        <family val="0"/>
        <charset val="1"/>
      </rPr>
      <t xml:space="preserve">.</t>
    </r>
  </si>
  <si>
    <t xml:space="preserve">개시창</t>
  </si>
  <si>
    <r>
      <rPr>
        <sz val="10"/>
        <rFont val="Arial"/>
        <family val="0"/>
        <charset val="1"/>
      </rPr>
      <t xml:space="preserve">AUG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-30~+90 </t>
    </r>
    <r>
      <rPr>
        <sz val="10"/>
        <rFont val="Noto Sans CJK SC"/>
        <family val="2"/>
      </rPr>
      <t xml:space="preserve">평균</t>
    </r>
  </si>
  <si>
    <t xml:space="preserve">불안정</t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</si>
  <si>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내부를 포함하면서 보존도가 급락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단독 지표로는 부적합</t>
    </r>
    <r>
      <rPr>
        <sz val="10"/>
        <rFont val="Arial"/>
        <family val="0"/>
        <charset val="1"/>
      </rPr>
      <t xml:space="preserve">.</t>
    </r>
  </si>
  <si>
    <t xml:space="preserve">acc_start30</t>
  </si>
  <si>
    <r>
      <rPr>
        <sz val="10"/>
        <rFont val="Noto Sans CJK SC"/>
        <family val="2"/>
      </rPr>
      <t xml:space="preserve">개시 코돈 직후 </t>
    </r>
    <r>
      <rPr>
        <sz val="10"/>
        <rFont val="Arial"/>
        <family val="0"/>
        <charset val="1"/>
      </rPr>
      <t xml:space="preserve">30 nt</t>
    </r>
  </si>
  <si>
    <t xml:space="preserve">보존 안 됨</t>
  </si>
  <si>
    <r>
      <rPr>
        <sz val="10"/>
        <rFont val="Noto Sans CJK SC"/>
        <family val="2"/>
      </rPr>
      <t xml:space="preserve">장거리 쌍 노출이 가장 큰 구간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근사 하에서 신뢰 불가 — 점수식에서 제외 권고</t>
    </r>
    <r>
      <rPr>
        <sz val="10"/>
        <rFont val="Arial"/>
        <family val="0"/>
        <charset val="1"/>
      </rPr>
      <t xml:space="preserve">.</t>
    </r>
  </si>
  <si>
    <t xml:space="preserve">종합 결론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</si>
  <si>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창 </t>
    </r>
    <r>
      <rPr>
        <sz val="10"/>
        <rFont val="Arial"/>
        <family val="0"/>
        <charset val="1"/>
      </rPr>
      <t xml:space="preserve">150 </t>
    </r>
    <r>
      <rPr>
        <sz val="10"/>
        <rFont val="Noto Sans CJK SC"/>
        <family val="2"/>
      </rPr>
      <t xml:space="preserve">근사는 접근성을 평균 </t>
    </r>
    <r>
      <rPr>
        <sz val="10"/>
        <rFont val="Arial"/>
        <family val="0"/>
        <charset val="1"/>
      </rPr>
      <t xml:space="preserve">+0.066</t>
    </r>
    <r>
      <rPr>
        <sz val="10"/>
        <rFont val="Noto Sans CJK SC"/>
        <family val="2"/>
      </rPr>
      <t xml:space="preserve">만큼 일정하게 과대평가하나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편향이 후보 간에 거의 균일하다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표준편차 </t>
    </r>
    <r>
      <rPr>
        <sz val="10"/>
        <rFont val="Arial"/>
        <family val="0"/>
        <charset val="1"/>
      </rPr>
      <t xml:space="preserve">0.004).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</si>
  <si>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따라서 전체 평균 접근성과 </t>
    </r>
    <r>
      <rPr>
        <sz val="10"/>
        <rFont val="Arial"/>
        <family val="0"/>
        <charset val="1"/>
      </rPr>
      <t xml:space="preserve">Kozak </t>
    </r>
    <r>
      <rPr>
        <sz val="10"/>
        <rFont val="Noto Sans CJK SC"/>
        <family val="2"/>
      </rPr>
      <t xml:space="preserve">주변 접근성은 후보 간 상대 비교가 유지되며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스크리닝 도구로서 타당하다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</si>
  <si>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반면 </t>
    </r>
    <r>
      <rPr>
        <sz val="10"/>
        <rFont val="Arial"/>
        <family val="0"/>
        <charset val="1"/>
      </rPr>
      <t xml:space="preserve">acc_start30</t>
    </r>
    <r>
      <rPr>
        <sz val="10"/>
        <rFont val="Noto Sans CJK SC"/>
        <family val="2"/>
      </rPr>
      <t xml:space="preserve">은 근사 하에서 순위가 보존되지 않으므로 점수식에서 제외해야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</si>
  <si>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이는 민감도 분석에서 </t>
    </r>
    <r>
      <rPr>
        <sz val="10"/>
        <rFont val="Arial"/>
        <family val="0"/>
        <charset val="1"/>
      </rPr>
      <t xml:space="preserve">acc_start30 </t>
    </r>
    <r>
      <rPr>
        <sz val="10"/>
        <rFont val="Noto Sans CJK SC"/>
        <family val="2"/>
      </rPr>
      <t xml:space="preserve">제외 시 순위상관 </t>
    </r>
    <r>
      <rPr>
        <sz val="10"/>
        <rFont val="Arial"/>
        <family val="0"/>
        <charset val="1"/>
      </rPr>
      <t xml:space="preserve">0.969</t>
    </r>
    <r>
      <rPr>
        <sz val="10"/>
        <rFont val="Noto Sans CJK SC"/>
        <family val="2"/>
      </rPr>
      <t xml:space="preserve">로 영향이 미미했던 결과와도 일치한다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</si>
  <si>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부수 발견</t>
    </r>
    <r>
      <rPr>
        <sz val="10"/>
        <rFont val="Arial"/>
        <family val="0"/>
        <charset val="1"/>
      </rPr>
      <t xml:space="preserve">: 3'UTR</t>
    </r>
    <r>
      <rPr>
        <sz val="10"/>
        <rFont val="Noto Sans CJK SC"/>
        <family val="2"/>
      </rPr>
      <t xml:space="preserve">만 다른 후보 쌍을 </t>
    </r>
    <r>
      <rPr>
        <sz val="10"/>
        <rFont val="Arial"/>
        <family val="0"/>
        <charset val="1"/>
      </rPr>
      <t xml:space="preserve">RNAplfold</t>
    </r>
    <r>
      <rPr>
        <sz val="10"/>
        <rFont val="Noto Sans CJK SC"/>
        <family val="2"/>
      </rPr>
      <t xml:space="preserve">는 동일하게 평가하나 </t>
    </r>
    <r>
      <rPr>
        <sz val="10"/>
        <rFont val="Arial"/>
        <family val="0"/>
        <charset val="1"/>
      </rPr>
      <t xml:space="preserve">RNAfold</t>
    </r>
    <r>
      <rPr>
        <sz val="10"/>
        <rFont val="Noto Sans CJK SC"/>
        <family val="2"/>
      </rPr>
      <t xml:space="preserve">는 구분한다</t>
    </r>
    <r>
      <rPr>
        <sz val="10"/>
        <rFont val="Arial"/>
        <family val="0"/>
        <charset val="1"/>
      </rPr>
      <t xml:space="preserve">. 3' </t>
    </r>
    <r>
      <rPr>
        <sz val="10"/>
        <rFont val="Noto Sans CJK SC"/>
        <family val="2"/>
      </rPr>
      <t xml:space="preserve">말단과 개시부의 장거리 결합을 근사가 포착하지 못함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</si>
</sst>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00"/>
    <numFmt numFmtId="167" formatCode="#,##0.0"/>
    <numFmt numFmtId="168" formatCode="#,##0.00"/>
    <numFmt numFmtId="169" formatCode="0.0"/>
    <numFmt numFmtId="170" formatCode="0\배"/>
    <numFmt numFmtId="171" formatCode="\+0.000;\-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C00000"/>
      <name val="Noto Sans CJK SC"/>
      <family val="2"/>
    </font>
    <font>
      <b val="true"/>
      <sz val="11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006100"/>
      <name val="Noto Sans CJK SC"/>
      <family val="2"/>
    </font>
    <font>
      <b val="true"/>
      <sz val="10"/>
      <color rgb="FF9C6500"/>
      <name val="Noto Sans CJK SC"/>
      <family val="2"/>
    </font>
    <font>
      <b val="true"/>
      <sz val="12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3" t="s">
        <v>8</v>
      </c>
      <c r="H4" s="4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5" t="n">
        <v>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7" t="n">
        <v>4730</v>
      </c>
      <c r="H5" s="8" t="n">
        <v>0.7553</v>
      </c>
      <c r="I5" s="8" t="n">
        <v>0.6353</v>
      </c>
      <c r="J5" s="9" t="s">
        <v>17</v>
      </c>
    </row>
    <row r="6" customFormat="false" ht="15" hidden="false" customHeight="false" outlineLevel="0" collapsed="false">
      <c r="A6" s="5" t="n">
        <v>2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18</v>
      </c>
      <c r="G6" s="7" t="n">
        <v>4660</v>
      </c>
      <c r="H6" s="8" t="n">
        <v>0.7553</v>
      </c>
      <c r="I6" s="8" t="n">
        <v>0.6316</v>
      </c>
      <c r="J6" s="9" t="s">
        <v>17</v>
      </c>
    </row>
    <row r="7" customFormat="false" ht="15" hidden="false" customHeight="false" outlineLevel="0" collapsed="false">
      <c r="A7" s="5" t="n">
        <v>32</v>
      </c>
      <c r="B7" s="6" t="s">
        <v>19</v>
      </c>
      <c r="C7" s="6" t="s">
        <v>20</v>
      </c>
      <c r="D7" s="6" t="s">
        <v>14</v>
      </c>
      <c r="E7" s="6" t="s">
        <v>15</v>
      </c>
      <c r="F7" s="6" t="s">
        <v>16</v>
      </c>
      <c r="G7" s="7" t="n">
        <v>4730</v>
      </c>
      <c r="H7" s="8" t="n">
        <v>0.9593</v>
      </c>
      <c r="I7" s="8" t="n">
        <v>0.5216</v>
      </c>
      <c r="J7" s="10" t="s">
        <v>21</v>
      </c>
    </row>
    <row r="8" customFormat="false" ht="15" hidden="false" customHeight="false" outlineLevel="0" collapsed="false">
      <c r="A8" s="5" t="n">
        <v>57</v>
      </c>
      <c r="B8" s="6" t="s">
        <v>19</v>
      </c>
      <c r="C8" s="6" t="s">
        <v>22</v>
      </c>
      <c r="D8" s="6" t="s">
        <v>14</v>
      </c>
      <c r="E8" s="6" t="s">
        <v>15</v>
      </c>
      <c r="F8" s="6" t="s">
        <v>16</v>
      </c>
      <c r="G8" s="7" t="n">
        <v>4730</v>
      </c>
      <c r="H8" s="8" t="n">
        <v>0.9217</v>
      </c>
      <c r="I8" s="8" t="n">
        <v>0.4633</v>
      </c>
      <c r="J8" s="10" t="s">
        <v>21</v>
      </c>
    </row>
    <row r="9" customFormat="false" ht="15" hidden="false" customHeight="false" outlineLevel="0" collapsed="false">
      <c r="A9" s="5" t="n">
        <v>63</v>
      </c>
      <c r="B9" s="6" t="s">
        <v>19</v>
      </c>
      <c r="C9" s="6" t="s">
        <v>23</v>
      </c>
      <c r="D9" s="6" t="s">
        <v>24</v>
      </c>
      <c r="E9" s="6" t="s">
        <v>25</v>
      </c>
      <c r="F9" s="6" t="s">
        <v>16</v>
      </c>
      <c r="G9" s="7" t="n">
        <v>4683</v>
      </c>
      <c r="H9" s="8" t="n">
        <v>0.9871</v>
      </c>
      <c r="I9" s="8" t="n">
        <v>0.459</v>
      </c>
      <c r="J9" s="10" t="s">
        <v>21</v>
      </c>
    </row>
    <row r="10" customFormat="false" ht="15" hidden="false" customHeight="false" outlineLevel="0" collapsed="false">
      <c r="A10" s="5" t="n">
        <v>84</v>
      </c>
      <c r="B10" s="6" t="s">
        <v>12</v>
      </c>
      <c r="C10" s="6" t="s">
        <v>23</v>
      </c>
      <c r="D10" s="6" t="s">
        <v>26</v>
      </c>
      <c r="E10" s="6" t="s">
        <v>25</v>
      </c>
      <c r="F10" s="6" t="s">
        <v>14</v>
      </c>
      <c r="G10" s="7" t="n">
        <v>4748</v>
      </c>
      <c r="H10" s="8" t="n">
        <v>0.9871</v>
      </c>
      <c r="I10" s="8" t="n">
        <v>0.4483</v>
      </c>
      <c r="J10" s="10" t="s">
        <v>21</v>
      </c>
    </row>
    <row r="11" customFormat="false" ht="15" hidden="false" customHeight="false" outlineLevel="0" collapsed="false">
      <c r="A11" s="5" t="n">
        <v>115</v>
      </c>
      <c r="B11" s="6" t="s">
        <v>19</v>
      </c>
      <c r="C11" s="6" t="s">
        <v>27</v>
      </c>
      <c r="D11" s="6" t="s">
        <v>16</v>
      </c>
      <c r="E11" s="6" t="s">
        <v>15</v>
      </c>
      <c r="F11" s="6" t="s">
        <v>16</v>
      </c>
      <c r="G11" s="7" t="n">
        <v>4717</v>
      </c>
      <c r="H11" s="8" t="n">
        <v>0.6933</v>
      </c>
      <c r="I11" s="8" t="n">
        <v>0.409</v>
      </c>
      <c r="J11" s="10" t="s">
        <v>21</v>
      </c>
    </row>
    <row r="12" customFormat="false" ht="15" hidden="false" customHeight="false" outlineLevel="0" collapsed="false">
      <c r="A12" s="5" t="n">
        <v>167</v>
      </c>
      <c r="B12" s="6" t="s">
        <v>12</v>
      </c>
      <c r="C12" s="6" t="s">
        <v>27</v>
      </c>
      <c r="D12" s="6" t="s">
        <v>26</v>
      </c>
      <c r="E12" s="6" t="s">
        <v>15</v>
      </c>
      <c r="F12" s="6" t="s">
        <v>18</v>
      </c>
      <c r="G12" s="7" t="n">
        <v>4652</v>
      </c>
      <c r="H12" s="8" t="n">
        <v>0.6933</v>
      </c>
      <c r="I12" s="8" t="n">
        <v>0.2627</v>
      </c>
      <c r="J12" s="10" t="s">
        <v>21</v>
      </c>
    </row>
    <row r="13" customFormat="false" ht="15" hidden="false" customHeight="false" outlineLevel="0" collapsed="false">
      <c r="A13" s="5" t="n">
        <v>168</v>
      </c>
      <c r="B13" s="6" t="s">
        <v>12</v>
      </c>
      <c r="C13" s="6" t="s">
        <v>27</v>
      </c>
      <c r="D13" s="6" t="s">
        <v>26</v>
      </c>
      <c r="E13" s="6" t="s">
        <v>15</v>
      </c>
      <c r="F13" s="6" t="s">
        <v>14</v>
      </c>
      <c r="G13" s="7" t="n">
        <v>4745</v>
      </c>
      <c r="H13" s="8" t="n">
        <v>0.6933</v>
      </c>
      <c r="I13" s="8" t="n">
        <v>0.262</v>
      </c>
      <c r="J13" s="10" t="s">
        <v>21</v>
      </c>
    </row>
    <row r="15" customFormat="false" ht="15" hidden="false" customHeight="false" outlineLevel="0" collapsed="false">
      <c r="A15" s="11" t="s">
        <v>28</v>
      </c>
    </row>
    <row r="16" customFormat="false" ht="15" hidden="false" customHeight="false" outlineLevel="0" collapsed="false">
      <c r="A16" s="12" t="s">
        <v>29</v>
      </c>
      <c r="C16" s="13" t="s">
        <v>30</v>
      </c>
    </row>
    <row r="17" customFormat="false" ht="15" hidden="false" customHeight="false" outlineLevel="0" collapsed="false">
      <c r="A17" s="14" t="s">
        <v>31</v>
      </c>
      <c r="C17" s="13" t="s">
        <v>32</v>
      </c>
    </row>
    <row r="18" customFormat="false" ht="15" hidden="false" customHeight="false" outlineLevel="0" collapsed="false">
      <c r="A18" s="14" t="s">
        <v>33</v>
      </c>
      <c r="C18" s="13" t="s">
        <v>34</v>
      </c>
    </row>
    <row r="19" customFormat="false" ht="15" hidden="false" customHeight="false" outlineLevel="0" collapsed="false">
      <c r="A19" s="14" t="s">
        <v>35</v>
      </c>
      <c r="C19" s="13" t="s">
        <v>36</v>
      </c>
    </row>
    <row r="20" customFormat="false" ht="15" hidden="false" customHeight="false" outlineLevel="0" collapsed="false">
      <c r="A20" s="12" t="s">
        <v>37</v>
      </c>
      <c r="C20" s="13" t="s">
        <v>38</v>
      </c>
    </row>
    <row r="22" customFormat="false" ht="15" hidden="false" customHeight="false" outlineLevel="0" collapsed="false">
      <c r="A22" s="15" t="s">
        <v>39</v>
      </c>
      <c r="C22" s="1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18" min="7" style="0" width="12"/>
  </cols>
  <sheetData>
    <row r="1" customFormat="false" ht="20.1" hidden="false" customHeight="false" outlineLevel="0" collapsed="false">
      <c r="A1" s="1" t="s">
        <v>41</v>
      </c>
    </row>
    <row r="2" customFormat="false" ht="15" hidden="false" customHeight="false" outlineLevel="0" collapsed="false">
      <c r="A2" s="16" t="s">
        <v>42</v>
      </c>
    </row>
    <row r="4" customFormat="false" ht="31.5" hidden="false" customHeight="true" outlineLevel="0" collapsed="false">
      <c r="A4" s="3" t="s">
        <v>2</v>
      </c>
      <c r="B4" s="4" t="s">
        <v>43</v>
      </c>
      <c r="C4" s="3" t="s">
        <v>44</v>
      </c>
      <c r="D4" s="4" t="s">
        <v>45</v>
      </c>
      <c r="E4" s="4" t="s">
        <v>46</v>
      </c>
      <c r="F4" s="3" t="s">
        <v>47</v>
      </c>
      <c r="G4" s="4" t="s">
        <v>48</v>
      </c>
      <c r="H4" s="4" t="s">
        <v>49</v>
      </c>
      <c r="I4" s="3" t="s">
        <v>50</v>
      </c>
      <c r="J4" s="4" t="s">
        <v>51</v>
      </c>
      <c r="K4" s="4" t="s">
        <v>52</v>
      </c>
      <c r="L4" s="3" t="s">
        <v>53</v>
      </c>
      <c r="M4" s="4" t="s">
        <v>54</v>
      </c>
      <c r="N4" s="4" t="s">
        <v>55</v>
      </c>
      <c r="O4" s="3" t="s">
        <v>53</v>
      </c>
      <c r="P4" s="4" t="s">
        <v>56</v>
      </c>
      <c r="Q4" s="4" t="s">
        <v>57</v>
      </c>
      <c r="R4" s="3" t="s">
        <v>53</v>
      </c>
    </row>
    <row r="5" customFormat="false" ht="15" hidden="false" customHeight="false" outlineLevel="0" collapsed="false">
      <c r="A5" s="5" t="n">
        <v>1</v>
      </c>
      <c r="B5" s="17" t="n">
        <v>-1481.2</v>
      </c>
      <c r="C5" s="18" t="n">
        <v>-1565.78</v>
      </c>
      <c r="D5" s="19" t="n">
        <v>363.6</v>
      </c>
      <c r="E5" s="19" t="n">
        <v>2</v>
      </c>
      <c r="F5" s="20" t="n">
        <f aca="false">ROUND(D5/E5,0)</f>
        <v>182</v>
      </c>
      <c r="G5" s="8" t="n">
        <v>0.1859</v>
      </c>
      <c r="H5" s="8" t="n">
        <v>0.0627</v>
      </c>
      <c r="I5" s="8" t="n">
        <v>0.7218</v>
      </c>
      <c r="J5" s="8" t="n">
        <v>0.4227</v>
      </c>
      <c r="K5" s="8" t="n">
        <v>0.6697</v>
      </c>
      <c r="L5" s="8" t="n">
        <f aca="false">K5-J5</f>
        <v>0.247</v>
      </c>
      <c r="M5" s="8" t="n">
        <v>0.3668</v>
      </c>
      <c r="N5" s="8" t="n">
        <v>0.3877</v>
      </c>
      <c r="O5" s="8" t="n">
        <f aca="false">N5-M5</f>
        <v>0.0209</v>
      </c>
      <c r="P5" s="8" t="n">
        <v>0.4033</v>
      </c>
      <c r="Q5" s="8" t="n">
        <v>0.466</v>
      </c>
      <c r="R5" s="8" t="n">
        <f aca="false">Q5-P5</f>
        <v>0.0627</v>
      </c>
    </row>
    <row r="6" customFormat="false" ht="15" hidden="false" customHeight="false" outlineLevel="0" collapsed="false">
      <c r="A6" s="5" t="n">
        <v>2</v>
      </c>
      <c r="B6" s="17" t="n">
        <v>-1448.6</v>
      </c>
      <c r="C6" s="18" t="n">
        <v>-1531.25</v>
      </c>
      <c r="D6" s="19" t="n">
        <v>349.2</v>
      </c>
      <c r="E6" s="19" t="n">
        <v>2.9</v>
      </c>
      <c r="F6" s="20" t="n">
        <f aca="false">ROUND(D6/E6,0)</f>
        <v>120</v>
      </c>
      <c r="G6" s="8" t="n">
        <v>0.1862</v>
      </c>
      <c r="H6" s="8" t="n">
        <v>0.0621</v>
      </c>
      <c r="I6" s="8" t="n">
        <v>0.7234</v>
      </c>
      <c r="J6" s="8" t="n">
        <v>0.4774</v>
      </c>
      <c r="K6" s="8" t="n">
        <v>0.6697</v>
      </c>
      <c r="L6" s="8" t="n">
        <f aca="false">K6-J6</f>
        <v>0.1923</v>
      </c>
      <c r="M6" s="8" t="n">
        <v>0.3357</v>
      </c>
      <c r="N6" s="8" t="n">
        <v>0.3877</v>
      </c>
      <c r="O6" s="8" t="n">
        <f aca="false">N6-M6</f>
        <v>0.052</v>
      </c>
      <c r="P6" s="8" t="n">
        <v>0.4052</v>
      </c>
      <c r="Q6" s="8" t="n">
        <v>0.4674</v>
      </c>
      <c r="R6" s="8" t="n">
        <f aca="false">Q6-P6</f>
        <v>0.0622</v>
      </c>
    </row>
    <row r="7" customFormat="false" ht="15" hidden="false" customHeight="false" outlineLevel="0" collapsed="false">
      <c r="A7" s="5" t="n">
        <v>32</v>
      </c>
      <c r="B7" s="17" t="n">
        <v>-1756.4</v>
      </c>
      <c r="C7" s="18" t="n">
        <v>-1836.85</v>
      </c>
      <c r="D7" s="19" t="n">
        <v>344.5</v>
      </c>
      <c r="E7" s="19" t="n">
        <v>2.6</v>
      </c>
      <c r="F7" s="20" t="n">
        <f aca="false">ROUND(D7/E7,0)</f>
        <v>133</v>
      </c>
      <c r="G7" s="8" t="n">
        <v>0.1634</v>
      </c>
      <c r="H7" s="8" t="n">
        <v>0.0649</v>
      </c>
      <c r="I7" s="8" t="n">
        <v>0.7783</v>
      </c>
      <c r="J7" s="21" t="s">
        <v>58</v>
      </c>
      <c r="K7" s="8" t="n">
        <v>0.4028</v>
      </c>
      <c r="L7" s="22" t="s">
        <v>59</v>
      </c>
      <c r="M7" s="21" t="s">
        <v>58</v>
      </c>
      <c r="N7" s="8" t="n">
        <v>0.4469</v>
      </c>
      <c r="O7" s="22" t="s">
        <v>59</v>
      </c>
      <c r="P7" s="21" t="s">
        <v>58</v>
      </c>
      <c r="Q7" s="8" t="n">
        <v>0.4494</v>
      </c>
      <c r="R7" s="22" t="s">
        <v>59</v>
      </c>
    </row>
    <row r="8" customFormat="false" ht="15" hidden="false" customHeight="false" outlineLevel="0" collapsed="false">
      <c r="A8" s="5" t="n">
        <v>57</v>
      </c>
      <c r="B8" s="17" t="n">
        <v>-1696.4</v>
      </c>
      <c r="C8" s="18" t="n">
        <v>-1779.13</v>
      </c>
      <c r="D8" s="19" t="n">
        <v>346</v>
      </c>
      <c r="E8" s="19" t="n">
        <v>2.7</v>
      </c>
      <c r="F8" s="20" t="n">
        <f aca="false">ROUND(D8/E8,0)</f>
        <v>128</v>
      </c>
      <c r="G8" s="8" t="n">
        <v>0.1962</v>
      </c>
      <c r="H8" s="8" t="n">
        <v>0.0643</v>
      </c>
      <c r="I8" s="8" t="n">
        <v>0.7138</v>
      </c>
      <c r="J8" s="21" t="s">
        <v>58</v>
      </c>
      <c r="K8" s="8" t="n">
        <v>0.4028</v>
      </c>
      <c r="L8" s="22" t="s">
        <v>59</v>
      </c>
      <c r="M8" s="21" t="s">
        <v>58</v>
      </c>
      <c r="N8" s="8" t="n">
        <v>0.4469</v>
      </c>
      <c r="O8" s="22" t="s">
        <v>59</v>
      </c>
      <c r="P8" s="21" t="s">
        <v>58</v>
      </c>
      <c r="Q8" s="8" t="n">
        <v>0.4551</v>
      </c>
      <c r="R8" s="22" t="s">
        <v>59</v>
      </c>
    </row>
    <row r="9" customFormat="false" ht="15" hidden="false" customHeight="false" outlineLevel="0" collapsed="false">
      <c r="A9" s="5" t="n">
        <v>63</v>
      </c>
      <c r="B9" s="17" t="n">
        <v>-1830.4</v>
      </c>
      <c r="C9" s="18" t="n">
        <v>-1904.99</v>
      </c>
      <c r="D9" s="19" t="n">
        <v>328.6</v>
      </c>
      <c r="E9" s="19" t="n">
        <v>2.5</v>
      </c>
      <c r="F9" s="20" t="n">
        <f aca="false">ROUND(D9/E9,0)</f>
        <v>131</v>
      </c>
      <c r="G9" s="8" t="n">
        <v>0.1811</v>
      </c>
      <c r="H9" s="8" t="n">
        <v>0.0612</v>
      </c>
      <c r="I9" s="8" t="n">
        <v>0.7436</v>
      </c>
      <c r="J9" s="21" t="s">
        <v>58</v>
      </c>
      <c r="K9" s="8" t="n">
        <v>0.2771</v>
      </c>
      <c r="L9" s="22" t="s">
        <v>59</v>
      </c>
      <c r="M9" s="21" t="s">
        <v>58</v>
      </c>
      <c r="N9" s="8" t="n">
        <v>0.3967</v>
      </c>
      <c r="O9" s="22" t="s">
        <v>59</v>
      </c>
      <c r="P9" s="21" t="s">
        <v>58</v>
      </c>
      <c r="Q9" s="8" t="n">
        <v>0.4473</v>
      </c>
      <c r="R9" s="22" t="s">
        <v>59</v>
      </c>
    </row>
    <row r="10" customFormat="false" ht="15" hidden="false" customHeight="false" outlineLevel="0" collapsed="false">
      <c r="A10" s="5" t="n">
        <v>84</v>
      </c>
      <c r="B10" s="17" t="n">
        <v>-1826.4</v>
      </c>
      <c r="C10" s="18" t="n">
        <v>-1901.26</v>
      </c>
      <c r="D10" s="19" t="n">
        <v>345.4</v>
      </c>
      <c r="E10" s="19" t="n">
        <v>2.2</v>
      </c>
      <c r="F10" s="20" t="n">
        <f aca="false">ROUND(D10/E10,0)</f>
        <v>157</v>
      </c>
      <c r="G10" s="8" t="n">
        <v>0.2017</v>
      </c>
      <c r="H10" s="8" t="n">
        <v>0.067</v>
      </c>
      <c r="I10" s="8" t="n">
        <v>0.6994</v>
      </c>
      <c r="J10" s="8" t="n">
        <v>0.3254</v>
      </c>
      <c r="K10" s="8" t="n">
        <v>0.2622</v>
      </c>
      <c r="L10" s="8" t="n">
        <f aca="false">K10-J10</f>
        <v>-0.0632</v>
      </c>
      <c r="M10" s="8" t="n">
        <v>0.2799</v>
      </c>
      <c r="N10" s="8" t="n">
        <v>0.4451</v>
      </c>
      <c r="O10" s="8" t="n">
        <f aca="false">N10-M10</f>
        <v>0.1652</v>
      </c>
      <c r="P10" s="8" t="n">
        <v>0.3861</v>
      </c>
      <c r="Q10" s="8" t="n">
        <v>0.453</v>
      </c>
      <c r="R10" s="8" t="n">
        <f aca="false">Q10-P10</f>
        <v>0.0669</v>
      </c>
    </row>
    <row r="11" customFormat="false" ht="15" hidden="false" customHeight="false" outlineLevel="0" collapsed="false">
      <c r="A11" s="5" t="n">
        <v>115</v>
      </c>
      <c r="B11" s="17" t="n">
        <v>-1292.1</v>
      </c>
      <c r="C11" s="18" t="n">
        <v>-1378.37</v>
      </c>
      <c r="D11" s="19" t="n">
        <v>359.1</v>
      </c>
      <c r="E11" s="19" t="n">
        <v>3.1</v>
      </c>
      <c r="F11" s="20" t="n">
        <f aca="false">ROUND(D11/E11,0)</f>
        <v>116</v>
      </c>
      <c r="G11" s="8" t="n">
        <v>0.1959</v>
      </c>
      <c r="H11" s="8" t="n">
        <v>0.0694</v>
      </c>
      <c r="I11" s="8" t="n">
        <v>0.7102</v>
      </c>
      <c r="J11" s="21" t="s">
        <v>58</v>
      </c>
      <c r="K11" s="8" t="n">
        <v>0.7062</v>
      </c>
      <c r="L11" s="22" t="s">
        <v>59</v>
      </c>
      <c r="M11" s="21" t="s">
        <v>58</v>
      </c>
      <c r="N11" s="8" t="n">
        <v>0.3939</v>
      </c>
      <c r="O11" s="22" t="s">
        <v>59</v>
      </c>
      <c r="P11" s="21" t="s">
        <v>58</v>
      </c>
      <c r="Q11" s="8" t="n">
        <v>0.4742</v>
      </c>
      <c r="R11" s="22" t="s">
        <v>59</v>
      </c>
    </row>
    <row r="12" customFormat="false" ht="15" hidden="false" customHeight="false" outlineLevel="0" collapsed="false">
      <c r="A12" s="5" t="n">
        <v>167</v>
      </c>
      <c r="B12" s="17" t="n">
        <v>-1252.8</v>
      </c>
      <c r="C12" s="18" t="n">
        <v>-1333.65</v>
      </c>
      <c r="D12" s="19" t="n">
        <v>338.2</v>
      </c>
      <c r="E12" s="19" t="n">
        <v>2.6</v>
      </c>
      <c r="F12" s="20" t="n">
        <f aca="false">ROUND(D12/E12,0)</f>
        <v>130</v>
      </c>
      <c r="G12" s="8" t="n">
        <v>0.2025</v>
      </c>
      <c r="H12" s="8" t="n">
        <v>0.0713</v>
      </c>
      <c r="I12" s="8" t="n">
        <v>0.7016</v>
      </c>
      <c r="J12" s="8" t="n">
        <v>0.3298</v>
      </c>
      <c r="K12" s="8" t="n">
        <v>0.4657</v>
      </c>
      <c r="L12" s="8" t="n">
        <f aca="false">K12-J12</f>
        <v>0.1359</v>
      </c>
      <c r="M12" s="8" t="n">
        <v>0.3865</v>
      </c>
      <c r="N12" s="8" t="n">
        <v>0.4311</v>
      </c>
      <c r="O12" s="8" t="n">
        <f aca="false">N12-M12</f>
        <v>0.0446</v>
      </c>
      <c r="P12" s="8" t="n">
        <v>0.4078</v>
      </c>
      <c r="Q12" s="8" t="n">
        <v>0.4791</v>
      </c>
      <c r="R12" s="8" t="n">
        <f aca="false">Q12-P12</f>
        <v>0.0713</v>
      </c>
    </row>
    <row r="13" customFormat="false" ht="15" hidden="false" customHeight="false" outlineLevel="0" collapsed="false">
      <c r="A13" s="5" t="n">
        <v>168</v>
      </c>
      <c r="B13" s="17" t="n">
        <v>-1274.3</v>
      </c>
      <c r="C13" s="18" t="n">
        <v>-1359.79</v>
      </c>
      <c r="D13" s="19" t="n">
        <v>366.2</v>
      </c>
      <c r="E13" s="19" t="n">
        <v>2.7</v>
      </c>
      <c r="F13" s="20" t="n">
        <f aca="false">ROUND(D13/E13,0)</f>
        <v>136</v>
      </c>
      <c r="G13" s="8" t="n">
        <v>0.1966</v>
      </c>
      <c r="H13" s="8" t="n">
        <v>0.0692</v>
      </c>
      <c r="I13" s="8" t="n">
        <v>0.7086</v>
      </c>
      <c r="J13" s="8" t="n">
        <v>0.3764</v>
      </c>
      <c r="K13" s="8" t="n">
        <v>0.4657</v>
      </c>
      <c r="L13" s="8" t="n">
        <f aca="false">K13-J13</f>
        <v>0.0893</v>
      </c>
      <c r="M13" s="8" t="n">
        <v>0.3977</v>
      </c>
      <c r="N13" s="8" t="n">
        <v>0.4311</v>
      </c>
      <c r="O13" s="8" t="n">
        <f aca="false">N13-M13</f>
        <v>0.0334</v>
      </c>
      <c r="P13" s="8" t="n">
        <v>0.41</v>
      </c>
      <c r="Q13" s="8" t="n">
        <v>0.4792</v>
      </c>
      <c r="R13" s="8" t="n">
        <f aca="false">Q13-P13</f>
        <v>0.0692</v>
      </c>
    </row>
    <row r="14" customFormat="false" ht="15" hidden="false" customHeight="false" outlineLevel="0" collapsed="false">
      <c r="A14" s="23" t="s">
        <v>60</v>
      </c>
      <c r="B14" s="24"/>
      <c r="C14" s="25"/>
      <c r="D14" s="26"/>
      <c r="E14" s="26"/>
      <c r="F14" s="27"/>
      <c r="G14" s="28" t="n">
        <f aca="false">AVERAGE(G5:G13)</f>
        <v>0.189944444444444</v>
      </c>
      <c r="H14" s="28" t="n">
        <f aca="false">AVERAGE(H5:H13)</f>
        <v>0.0657888888888889</v>
      </c>
      <c r="I14" s="28" t="n">
        <f aca="false">AVERAGE(I5:I13)</f>
        <v>0.7223</v>
      </c>
      <c r="J14" s="29"/>
      <c r="K14" s="29"/>
      <c r="L14" s="29"/>
      <c r="M14" s="29"/>
      <c r="N14" s="29"/>
      <c r="O14" s="29"/>
      <c r="P14" s="29"/>
      <c r="Q14" s="29"/>
      <c r="R14" s="29"/>
    </row>
    <row r="15" customFormat="false" ht="15" hidden="false" customHeight="false" outlineLevel="0" collapsed="false">
      <c r="A15" s="23" t="s">
        <v>61</v>
      </c>
      <c r="B15" s="24"/>
      <c r="C15" s="25"/>
      <c r="D15" s="26"/>
      <c r="E15" s="26"/>
      <c r="F15" s="27"/>
      <c r="G15" s="28" t="n">
        <f aca="false">STDEV(G5:G13)</f>
        <v>0.0123892202247671</v>
      </c>
      <c r="H15" s="28" t="n">
        <f aca="false">STDEV(H5:H13)</f>
        <v>0.00360084866539974</v>
      </c>
      <c r="I15" s="28" t="n">
        <f aca="false">STDEV(I5:I13)</f>
        <v>0.0248756909451778</v>
      </c>
      <c r="J15" s="29"/>
      <c r="K15" s="29"/>
      <c r="L15" s="29"/>
      <c r="M15" s="29"/>
      <c r="N15" s="29"/>
      <c r="O15" s="29"/>
      <c r="P15" s="29"/>
      <c r="Q15" s="29"/>
      <c r="R15" s="29"/>
    </row>
    <row r="17" customFormat="false" ht="15" hidden="false" customHeight="false" outlineLevel="0" collapsed="false">
      <c r="A17" s="11" t="s">
        <v>62</v>
      </c>
    </row>
    <row r="18" customFormat="false" ht="15" hidden="false" customHeight="false" outlineLevel="0" collapsed="false">
      <c r="A18" s="14" t="s">
        <v>48</v>
      </c>
      <c r="C18" s="30" t="s">
        <v>63</v>
      </c>
    </row>
    <row r="19" customFormat="false" ht="15" hidden="false" customHeight="false" outlineLevel="0" collapsed="false">
      <c r="A19" s="14" t="s">
        <v>49</v>
      </c>
      <c r="C19" s="13" t="s">
        <v>64</v>
      </c>
    </row>
    <row r="20" customFormat="false" ht="15" hidden="false" customHeight="false" outlineLevel="0" collapsed="false">
      <c r="A20" s="12" t="s">
        <v>65</v>
      </c>
      <c r="C20" s="30" t="s">
        <v>66</v>
      </c>
    </row>
    <row r="21" customFormat="false" ht="15" hidden="false" customHeight="false" outlineLevel="0" collapsed="false">
      <c r="A21" s="12" t="s">
        <v>53</v>
      </c>
      <c r="C21" s="13" t="s">
        <v>67</v>
      </c>
    </row>
    <row r="22" customFormat="false" ht="15" hidden="false" customHeight="false" outlineLevel="0" collapsed="false">
      <c r="A22" s="12" t="s">
        <v>58</v>
      </c>
      <c r="C22" s="1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62"/>
  </cols>
  <sheetData>
    <row r="1" customFormat="false" ht="16.15" hidden="false" customHeight="false" outlineLevel="0" collapsed="false">
      <c r="A1" s="1" t="s">
        <v>69</v>
      </c>
    </row>
    <row r="2" customFormat="false" ht="15" hidden="false" customHeight="false" outlineLevel="0" collapsed="false">
      <c r="A2" s="16" t="s">
        <v>70</v>
      </c>
    </row>
    <row r="4" customFormat="false" ht="15" hidden="false" customHeight="false" outlineLevel="0" collapsed="false">
      <c r="A4" s="3" t="s">
        <v>71</v>
      </c>
      <c r="B4" s="3" t="s">
        <v>72</v>
      </c>
      <c r="C4" s="4" t="s">
        <v>73</v>
      </c>
      <c r="D4" s="3" t="s">
        <v>74</v>
      </c>
      <c r="E4" s="3" t="s">
        <v>75</v>
      </c>
      <c r="F4" s="3" t="s">
        <v>76</v>
      </c>
    </row>
    <row r="5" customFormat="false" ht="30" hidden="false" customHeight="true" outlineLevel="0" collapsed="false">
      <c r="A5" s="5" t="s">
        <v>77</v>
      </c>
      <c r="B5" s="10" t="s">
        <v>78</v>
      </c>
      <c r="C5" s="31" t="n">
        <v>0.889</v>
      </c>
      <c r="D5" s="31" t="n">
        <v>0.967</v>
      </c>
      <c r="E5" s="32" t="s">
        <v>79</v>
      </c>
      <c r="F5" s="33" t="s">
        <v>80</v>
      </c>
    </row>
    <row r="6" customFormat="false" ht="30" hidden="false" customHeight="true" outlineLevel="0" collapsed="false">
      <c r="A6" s="5" t="s">
        <v>81</v>
      </c>
      <c r="B6" s="6" t="s">
        <v>82</v>
      </c>
      <c r="C6" s="31" t="n">
        <v>0.694</v>
      </c>
      <c r="D6" s="31" t="n">
        <v>0.878</v>
      </c>
      <c r="E6" s="32" t="s">
        <v>83</v>
      </c>
      <c r="F6" s="33" t="s">
        <v>84</v>
      </c>
    </row>
    <row r="7" customFormat="false" ht="30" hidden="false" customHeight="true" outlineLevel="0" collapsed="false">
      <c r="A7" s="34" t="s">
        <v>85</v>
      </c>
      <c r="B7" s="6" t="s">
        <v>86</v>
      </c>
      <c r="C7" s="31" t="n">
        <v>0.25</v>
      </c>
      <c r="D7" s="5" t="s">
        <v>59</v>
      </c>
      <c r="E7" s="35" t="s">
        <v>87</v>
      </c>
      <c r="F7" s="36" t="s">
        <v>88</v>
      </c>
    </row>
    <row r="8" customFormat="false" ht="30" hidden="false" customHeight="true" outlineLevel="0" collapsed="false">
      <c r="A8" s="5" t="s">
        <v>89</v>
      </c>
      <c r="B8" s="10" t="s">
        <v>90</v>
      </c>
      <c r="C8" s="31" t="n">
        <v>0.083</v>
      </c>
      <c r="D8" s="31" t="n">
        <v>0.115</v>
      </c>
      <c r="E8" s="37" t="s">
        <v>91</v>
      </c>
      <c r="F8" s="33" t="s">
        <v>92</v>
      </c>
    </row>
    <row r="11" customFormat="false" ht="15" hidden="false" customHeight="false" outlineLevel="0" collapsed="false">
      <c r="A11" s="38" t="s">
        <v>93</v>
      </c>
    </row>
    <row r="12" customFormat="false" ht="27.75" hidden="false" customHeight="true" outlineLevel="0" collapsed="false">
      <c r="A12" s="39" t="s">
        <v>94</v>
      </c>
      <c r="B12" s="39"/>
      <c r="C12" s="39"/>
      <c r="D12" s="39"/>
      <c r="E12" s="39"/>
      <c r="F12" s="39"/>
    </row>
    <row r="13" customFormat="false" ht="27.75" hidden="false" customHeight="true" outlineLevel="0" collapsed="false">
      <c r="A13" s="39" t="s">
        <v>95</v>
      </c>
      <c r="B13" s="39"/>
      <c r="C13" s="39"/>
      <c r="D13" s="39"/>
      <c r="E13" s="39"/>
      <c r="F13" s="39"/>
    </row>
    <row r="14" customFormat="false" ht="27.75" hidden="false" customHeight="true" outlineLevel="0" collapsed="false">
      <c r="A14" s="39" t="s">
        <v>96</v>
      </c>
      <c r="B14" s="39"/>
      <c r="C14" s="39"/>
      <c r="D14" s="39"/>
      <c r="E14" s="39"/>
      <c r="F14" s="39"/>
    </row>
    <row r="15" customFormat="false" ht="27.75" hidden="false" customHeight="true" outlineLevel="0" collapsed="false">
      <c r="A15" s="39" t="s">
        <v>97</v>
      </c>
      <c r="B15" s="39"/>
      <c r="C15" s="39"/>
      <c r="D15" s="39"/>
      <c r="E15" s="39"/>
      <c r="F15" s="39"/>
    </row>
    <row r="16" customFormat="false" ht="27.75" hidden="false" customHeight="true" outlineLevel="0" collapsed="false">
      <c r="A16" s="39" t="s">
        <v>98</v>
      </c>
      <c r="B16" s="39"/>
      <c r="C16" s="39"/>
      <c r="D16" s="39"/>
      <c r="E16" s="39"/>
      <c r="F16" s="39"/>
    </row>
  </sheetData>
  <mergeCells count="5"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2026-10-07T03:19:12Z</dcterms:created>
  <dc:creator>openpyxl</dc:creator>
  <dc:description/>
  <dc:language>en-US</dc:language>
  <cp:lastModifiedBy/>
  <dcterms:modified xsi:type="dcterms:W3CDTF">2026-10-07T03:19:12Z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